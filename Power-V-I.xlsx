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66925"/>
  <xr:revisionPtr revIDLastSave="0" documentId="11_E60897F41BE170836B02CE998F75CCDC64E183C8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</workbook>
</file>

<file path=xl/calcChain.xml><?xml version="1.0" encoding="utf-8"?>
<calcChain xmlns="http://schemas.openxmlformats.org/spreadsheetml/2006/main">
  <c r="B20" i="1" l="1"/>
  <c r="D20" i="1"/>
  <c r="D19" i="1"/>
  <c r="B18" i="1"/>
  <c r="B19" i="1"/>
  <c r="D18" i="1"/>
  <c r="D17" i="1"/>
  <c r="B17" i="1"/>
  <c r="B13" i="1"/>
</calcChain>
</file>

<file path=xl/sharedStrings.xml><?xml version="1.0" encoding="utf-8"?>
<sst xmlns="http://schemas.openxmlformats.org/spreadsheetml/2006/main" count="101" uniqueCount="95">
  <si>
    <t>Component</t>
  </si>
  <si>
    <t>Power (P)</t>
  </si>
  <si>
    <t>Voltage (V)</t>
  </si>
  <si>
    <t>Current(A)</t>
  </si>
  <si>
    <t>Connector</t>
  </si>
  <si>
    <t>Connector 2</t>
  </si>
  <si>
    <t>Weight</t>
  </si>
  <si>
    <t>Dimensions</t>
  </si>
  <si>
    <t>Link</t>
  </si>
  <si>
    <t>Remarks</t>
  </si>
  <si>
    <t>Datasheet</t>
  </si>
  <si>
    <t>Manual</t>
  </si>
  <si>
    <t>Pixhawk with Jetson</t>
  </si>
  <si>
    <t>Jetson : 7-12 V  Pixhawk max 5.2 V</t>
  </si>
  <si>
    <t>max continous 12 A       burst 24A</t>
  </si>
  <si>
    <t>JST / servo from power module for pixhawk and XT30 UBEC or with PDB for Jetson</t>
  </si>
  <si>
    <t>47.8g</t>
  </si>
  <si>
    <t>All the Pixhawk product website refer to max limit voltage and current. Exact values of each component is unknown  https://diydrones.com/profiles/blogs/pixhawk-and-apm-power-consumption </t>
  </si>
  <si>
    <t>Pixhawk 4</t>
  </si>
  <si>
    <t>2-2.5W</t>
  </si>
  <si>
    <t>ideal 5V</t>
  </si>
  <si>
    <t>max limit 1.5V - 5V@ 500mA</t>
  </si>
  <si>
    <t>JST/servowiring</t>
  </si>
  <si>
    <t>33.3g</t>
  </si>
  <si>
    <t>only pixhawk board uses 0.8W with USB</t>
  </si>
  <si>
    <t>Pixhawk  (6Xpro, 6C)</t>
  </si>
  <si>
    <t xml:space="preserve">2-2.5W </t>
  </si>
  <si>
    <t>max 6V</t>
  </si>
  <si>
    <t>total incl compass, radio - 280mA  max limit  1.5A</t>
  </si>
  <si>
    <t>JST/ servo wiring</t>
  </si>
  <si>
    <t>34.6g | pro 50g</t>
  </si>
  <si>
    <t>USB 4.75 - 5.25A | always power the pixhawk with power distribution board or a power module</t>
  </si>
  <si>
    <t>Holybro X650 - LED</t>
  </si>
  <si>
    <t>X650 Motors (4) +ESC</t>
  </si>
  <si>
    <t>theoritical 750 W  max  350W</t>
  </si>
  <si>
    <t xml:space="preserve">14V to 22.2V </t>
  </si>
  <si>
    <t>Max Continous 45A</t>
  </si>
  <si>
    <t>XT30</t>
  </si>
  <si>
    <t xml:space="preserve">170g each </t>
  </si>
  <si>
    <t> Tmotor MN4014 KV330 Motor with XT30 Plug and - Tekko32 F4 45A ESC with XT30 Plugs</t>
  </si>
  <si>
    <t>Telemetry , GPS, and others</t>
  </si>
  <si>
    <t>approx 1-2W</t>
  </si>
  <si>
    <t>1.5A max (35 mA)</t>
  </si>
  <si>
    <t>Servo wiring from pixhawk</t>
  </si>
  <si>
    <t>Powered from Pixhawk / reciever connected to Laptop</t>
  </si>
  <si>
    <t>Real sense Camera</t>
  </si>
  <si>
    <t>USB 4G Dongle</t>
  </si>
  <si>
    <t>Raspbi 4B</t>
  </si>
  <si>
    <t>Companion Computer -Intel NUC</t>
  </si>
  <si>
    <t>POE (IEEE 802.3af), or 12-24 VDC external</t>
  </si>
  <si>
    <t>Jetson NX</t>
  </si>
  <si>
    <t>6.1 W</t>
  </si>
  <si>
    <t>+9V to +36V DC</t>
  </si>
  <si>
    <t>Mini-Fit Jr. 4-Pin power</t>
  </si>
  <si>
    <t>80g</t>
  </si>
  <si>
    <t>90mm x 75mm</t>
  </si>
  <si>
    <t>Boson22</t>
  </si>
  <si>
    <t>12 V | 6.1 W with fully booted module and passive cooling | POE??</t>
  </si>
  <si>
    <t>Boson22_Datasheet</t>
  </si>
  <si>
    <t>Boson22_Manual</t>
  </si>
  <si>
    <t>Jetson AGX</t>
  </si>
  <si>
    <t>10-36V DC</t>
  </si>
  <si>
    <t>6-pin Mini-fit Jr. Connector</t>
  </si>
  <si>
    <t>990g (280g for board only)</t>
  </si>
  <si>
    <t>155mm x 125mm</t>
  </si>
  <si>
    <t>Forge</t>
  </si>
  <si>
    <t>LiDAR</t>
  </si>
  <si>
    <t>Peak: 30W | Nominal: 15 W</t>
  </si>
  <si>
    <t>9 to 36 V DC</t>
  </si>
  <si>
    <t>-</t>
  </si>
  <si>
    <t> EEG.0T.309.CLN (female socket, on the lidar)</t>
  </si>
  <si>
    <t>FGG.0T.309.CLAC50Z (male plug, on the connection box)</t>
  </si>
  <si>
    <t>490 g</t>
  </si>
  <si>
    <t>Φ 76 x H 93 mm</t>
  </si>
  <si>
    <t>Hesai</t>
  </si>
  <si>
    <t>Cable: We recommend using 26 AWG cables, which is the thickest wire gauge supported by the lidar.</t>
  </si>
  <si>
    <t>Event Camera</t>
  </si>
  <si>
    <t>3.5W via PoE</t>
  </si>
  <si>
    <t>2.5GBASE-T / 1000BASE-T M12 (8 Pin X-Coded)</t>
  </si>
  <si>
    <t>8 pin M8 connector</t>
  </si>
  <si>
    <t>90 g</t>
  </si>
  <si>
    <t>Triton</t>
  </si>
  <si>
    <t>PoE (IEEE 802.3af), or 12-24 VDC external</t>
  </si>
  <si>
    <t>Certus Mini D</t>
  </si>
  <si>
    <t>OEM: 0.8W | Rugged: 1.1W</t>
  </si>
  <si>
    <t>OEM: 5V | Rugged: 5 to 36 V DC</t>
  </si>
  <si>
    <t>To check the box</t>
  </si>
  <si>
    <t>OEM 10g | Rugged 55g</t>
  </si>
  <si>
    <t>certus</t>
  </si>
  <si>
    <t>website</t>
  </si>
  <si>
    <t>5600 mAh 80C 22.2V</t>
  </si>
  <si>
    <t>XT90</t>
  </si>
  <si>
    <t>12000 mAh 30C 22.2V</t>
  </si>
  <si>
    <t>25000 mAh 10C 22.8V</t>
  </si>
  <si>
    <t>6000 mAh 30C 22.2V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</si>
</sst>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2" fillId="0" borderId="0" xfId="0" applyFont="1" applyAlignment="1">
      <alignment wrapText="1"/>
    </xf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nnecttech.com/ftp/pdf/AGX201_Forge.pdf" TargetMode="External"/><Relationship Id="rId3" Type="http://schemas.openxmlformats.org/officeDocument/2006/relationships/hyperlink" Target="https://connecttech.com/product/boson-22-carrier-board-for-nvidia-jetson-orin-nano/" TargetMode="External"/><Relationship Id="rId7" Type="http://schemas.openxmlformats.org/officeDocument/2006/relationships/hyperlink" Target="https://connecttech.com/ftp/pdf/CTIM-AGX201_Manual.pdf" TargetMode="External"/><Relationship Id="rId2" Type="http://schemas.openxmlformats.org/officeDocument/2006/relationships/hyperlink" Target="https://connecttech.com/product/forge-carrier-for-nvidia-jetson-agx-orin/" TargetMode="External"/><Relationship Id="rId1" Type="http://schemas.openxmlformats.org/officeDocument/2006/relationships/hyperlink" Target="https://thinklucid.com/product/triton2-evs-0-9mp-imx636/" TargetMode="External"/><Relationship Id="rId6" Type="http://schemas.openxmlformats.org/officeDocument/2006/relationships/hyperlink" Target="https://www.hesaitech.com/product/xt16-32-32m/" TargetMode="External"/><Relationship Id="rId5" Type="http://schemas.openxmlformats.org/officeDocument/2006/relationships/hyperlink" Target="https://connecttech.com/ftp/pdf/NGX021_Boson-22-Orin.pdf" TargetMode="External"/><Relationship Id="rId10" Type="http://schemas.openxmlformats.org/officeDocument/2006/relationships/hyperlink" Target="https://www.advancednavigation.com/inertial-navigation-systems/mems-gnss-ins/certus-mini-d/" TargetMode="External"/><Relationship Id="rId4" Type="http://schemas.openxmlformats.org/officeDocument/2006/relationships/hyperlink" Target="https://connecttech.com/ftp/pdf/CTIM-00095_Boson_Boson22_Manual.pdf" TargetMode="External"/><Relationship Id="rId9" Type="http://schemas.openxmlformats.org/officeDocument/2006/relationships/hyperlink" Target="https://www.advancednavigation.com/inertial-navigation-systems/mems-gnss-ins/certus-mini-d/datashe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A3" workbookViewId="0" xr3:uid="{AEA406A1-0E4B-5B11-9CD5-51D6E497D94C}">
      <selection activeCell="J13" sqref="J13"/>
    </sheetView>
  </sheetViews>
  <sheetFormatPr defaultRowHeight="15"/>
  <cols>
    <col min="1" max="1" width="29.28515625" customWidth="1"/>
    <col min="2" max="2" width="24" customWidth="1"/>
    <col min="3" max="3" width="30.140625" customWidth="1"/>
    <col min="4" max="4" width="23.7109375" customWidth="1"/>
    <col min="5" max="5" width="24.85546875" customWidth="1"/>
    <col min="6" max="9" width="23.7109375" customWidth="1"/>
    <col min="10" max="10" width="60.140625" customWidth="1"/>
    <col min="11" max="11" width="18.85546875" bestFit="1" customWidth="1"/>
    <col min="12" max="12" width="16.28515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60">
      <c r="A2" t="s">
        <v>12</v>
      </c>
      <c r="C2" s="1" t="s">
        <v>13</v>
      </c>
      <c r="D2" s="1" t="s">
        <v>14</v>
      </c>
      <c r="E2" s="1" t="s">
        <v>15</v>
      </c>
      <c r="G2" t="s">
        <v>16</v>
      </c>
      <c r="J2" s="1" t="s">
        <v>17</v>
      </c>
    </row>
    <row r="3" spans="1:12">
      <c r="A3" t="s">
        <v>18</v>
      </c>
      <c r="B3" t="s">
        <v>19</v>
      </c>
      <c r="C3" t="s">
        <v>20</v>
      </c>
      <c r="D3" t="s">
        <v>21</v>
      </c>
      <c r="E3" t="s">
        <v>22</v>
      </c>
      <c r="G3" t="s">
        <v>23</v>
      </c>
      <c r="J3" t="s">
        <v>24</v>
      </c>
    </row>
    <row r="4" spans="1:12" ht="30">
      <c r="A4" t="s">
        <v>25</v>
      </c>
      <c r="B4" t="s">
        <v>26</v>
      </c>
      <c r="C4" t="s">
        <v>27</v>
      </c>
      <c r="D4" s="1" t="s">
        <v>28</v>
      </c>
      <c r="E4" t="s">
        <v>29</v>
      </c>
      <c r="G4" t="s">
        <v>30</v>
      </c>
      <c r="J4" s="1" t="s">
        <v>31</v>
      </c>
    </row>
    <row r="5" spans="1:12">
      <c r="A5" t="s">
        <v>32</v>
      </c>
      <c r="D5" s="1"/>
      <c r="J5" s="1"/>
    </row>
    <row r="6" spans="1:12" ht="30">
      <c r="A6" t="s">
        <v>33</v>
      </c>
      <c r="B6" s="1" t="s">
        <v>34</v>
      </c>
      <c r="C6" t="s">
        <v>35</v>
      </c>
      <c r="D6" t="s">
        <v>36</v>
      </c>
      <c r="E6" t="s">
        <v>37</v>
      </c>
      <c r="G6" t="s">
        <v>38</v>
      </c>
      <c r="J6" s="1" t="s">
        <v>39</v>
      </c>
    </row>
    <row r="7" spans="1:12">
      <c r="A7" t="s">
        <v>40</v>
      </c>
      <c r="B7" t="s">
        <v>41</v>
      </c>
      <c r="C7" t="s">
        <v>20</v>
      </c>
      <c r="D7" t="s">
        <v>42</v>
      </c>
      <c r="E7" t="s">
        <v>43</v>
      </c>
      <c r="J7" t="s">
        <v>44</v>
      </c>
    </row>
    <row r="8" spans="1:12">
      <c r="A8" t="s">
        <v>45</v>
      </c>
    </row>
    <row r="9" spans="1:12">
      <c r="A9" t="s">
        <v>46</v>
      </c>
    </row>
    <row r="10" spans="1:12">
      <c r="A10" t="s">
        <v>47</v>
      </c>
    </row>
    <row r="11" spans="1:12">
      <c r="A11" t="s">
        <v>48</v>
      </c>
      <c r="J11" t="s">
        <v>49</v>
      </c>
    </row>
    <row r="12" spans="1:12">
      <c r="A12" t="s">
        <v>50</v>
      </c>
      <c r="B12" t="s">
        <v>51</v>
      </c>
      <c r="C12" t="s">
        <v>52</v>
      </c>
      <c r="E12" t="s">
        <v>53</v>
      </c>
      <c r="G12" t="s">
        <v>54</v>
      </c>
      <c r="H12" t="s">
        <v>55</v>
      </c>
      <c r="I12" s="2" t="s">
        <v>56</v>
      </c>
      <c r="J12" s="3" t="s">
        <v>57</v>
      </c>
      <c r="K12" s="2" t="s">
        <v>58</v>
      </c>
      <c r="L12" s="2" t="s">
        <v>59</v>
      </c>
    </row>
    <row r="13" spans="1:12">
      <c r="A13" t="s">
        <v>60</v>
      </c>
      <c r="B13">
        <f>68+6+3+12+2+4</f>
        <v>95</v>
      </c>
      <c r="C13" t="s">
        <v>61</v>
      </c>
      <c r="E13" t="s">
        <v>62</v>
      </c>
      <c r="G13" t="s">
        <v>63</v>
      </c>
      <c r="H13" t="s">
        <v>64</v>
      </c>
      <c r="I13" s="2" t="s">
        <v>65</v>
      </c>
      <c r="K13" s="2" t="s">
        <v>10</v>
      </c>
      <c r="L13" s="2" t="s">
        <v>11</v>
      </c>
    </row>
    <row r="14" spans="1:12" ht="45">
      <c r="A14" t="s">
        <v>66</v>
      </c>
      <c r="B14" s="1" t="s">
        <v>67</v>
      </c>
      <c r="C14" t="s">
        <v>68</v>
      </c>
      <c r="D14" t="s">
        <v>69</v>
      </c>
      <c r="E14" s="1" t="s">
        <v>70</v>
      </c>
      <c r="F14" s="1" t="s">
        <v>71</v>
      </c>
      <c r="G14" t="s">
        <v>72</v>
      </c>
      <c r="H14" t="s">
        <v>73</v>
      </c>
      <c r="I14" s="2" t="s">
        <v>74</v>
      </c>
      <c r="J14" s="1" t="s">
        <v>75</v>
      </c>
    </row>
    <row r="15" spans="1:12" ht="30">
      <c r="A15" t="s">
        <v>76</v>
      </c>
      <c r="B15" t="s">
        <v>77</v>
      </c>
      <c r="E15" s="1" t="s">
        <v>78</v>
      </c>
      <c r="F15" t="s">
        <v>79</v>
      </c>
      <c r="G15" t="s">
        <v>80</v>
      </c>
      <c r="I15" s="2" t="s">
        <v>81</v>
      </c>
      <c r="J15" t="s">
        <v>82</v>
      </c>
    </row>
    <row r="16" spans="1:12">
      <c r="A16" t="s">
        <v>83</v>
      </c>
      <c r="B16" t="s">
        <v>84</v>
      </c>
      <c r="C16" t="s">
        <v>85</v>
      </c>
      <c r="E16" s="4" t="s">
        <v>86</v>
      </c>
      <c r="G16" t="s">
        <v>87</v>
      </c>
      <c r="I16" s="2" t="s">
        <v>88</v>
      </c>
      <c r="K16" s="2" t="s">
        <v>83</v>
      </c>
      <c r="L16" t="s">
        <v>89</v>
      </c>
    </row>
    <row r="17" spans="1:5">
      <c r="A17" t="s">
        <v>90</v>
      </c>
      <c r="B17">
        <f>C17*D17</f>
        <v>9945.6</v>
      </c>
      <c r="C17">
        <v>22.2</v>
      </c>
      <c r="D17">
        <f>5.6*80</f>
        <v>448</v>
      </c>
      <c r="E17" t="s">
        <v>91</v>
      </c>
    </row>
    <row r="18" spans="1:5">
      <c r="A18" t="s">
        <v>92</v>
      </c>
      <c r="B18">
        <f t="shared" ref="B18:B20" si="0">C18*D18</f>
        <v>7992</v>
      </c>
      <c r="C18">
        <v>22.2</v>
      </c>
      <c r="D18">
        <f>12*30</f>
        <v>360</v>
      </c>
      <c r="E18" t="s">
        <v>91</v>
      </c>
    </row>
    <row r="19" spans="1:5">
      <c r="A19" t="s">
        <v>93</v>
      </c>
      <c r="B19">
        <f t="shared" si="0"/>
        <v>5700</v>
      </c>
      <c r="C19">
        <v>22.8</v>
      </c>
      <c r="D19">
        <f>25*10</f>
        <v>250</v>
      </c>
      <c r="E19" t="s">
        <v>91</v>
      </c>
    </row>
    <row r="20" spans="1:5">
      <c r="A20" t="s">
        <v>94</v>
      </c>
      <c r="B20">
        <f t="shared" si="0"/>
        <v>3996</v>
      </c>
      <c r="C20">
        <v>22.2</v>
      </c>
      <c r="D20">
        <f>6*30</f>
        <v>180</v>
      </c>
    </row>
  </sheetData>
  <hyperlinks>
    <hyperlink ref="I15" r:id="rId1" xr:uid="{0E449647-8FCA-4714-8AA0-204C05F23E6C}"/>
    <hyperlink ref="I13" r:id="rId2" xr:uid="{B934C41A-75BA-4F6F-86CE-649819943601}"/>
    <hyperlink ref="I12" r:id="rId3" xr:uid="{5DA3E0D8-E496-4ECD-9FB1-32A30F8E4D5B}"/>
    <hyperlink ref="L12" r:id="rId4" xr:uid="{8D67E33D-12F4-429B-A7B1-3936B493F300}"/>
    <hyperlink ref="K12" r:id="rId5" xr:uid="{8852C1CC-4B9A-413E-9B0E-074844CF62DC}"/>
    <hyperlink ref="I14" r:id="rId6" xr:uid="{B1EAB74A-1D35-4303-BF34-9C4A264B2B37}"/>
    <hyperlink ref="L13" r:id="rId7" xr:uid="{70173501-9AA3-4716-9BA8-E0E2562FB38B}"/>
    <hyperlink ref="K13" r:id="rId8" xr:uid="{3F1313D4-DDF6-422D-A451-F5C8BD39E268}"/>
    <hyperlink ref="K16" r:id="rId9" xr:uid="{18173CED-DD73-4A14-AFE0-E30EB278B7EB}"/>
    <hyperlink ref="I16" r:id="rId10" xr:uid="{AF2B36F4-EB84-45B6-8F37-4D1974F331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Barot, Tushar Jayesh</cp:lastModifiedBy>
  <cp:revision/>
  <dcterms:created xsi:type="dcterms:W3CDTF">2025-03-13T13:11:49Z</dcterms:created>
  <dcterms:modified xsi:type="dcterms:W3CDTF">2025-03-13T15:40:46Z</dcterms:modified>
  <cp:category/>
  <cp:contentStatus/>
</cp:coreProperties>
</file>